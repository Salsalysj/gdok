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Expert\gdok3\"/>
    </mc:Choice>
  </mc:AlternateContent>
  <xr:revisionPtr revIDLastSave="0" documentId="13_ncr:1_{71D0E1D7-C989-4F41-B064-6D8DDD056F87}" xr6:coauthVersionLast="47" xr6:coauthVersionMax="47" xr10:uidLastSave="{00000000-0000-0000-0000-000000000000}"/>
  <bookViews>
    <workbookView xWindow="28680" yWindow="-120" windowWidth="38640" windowHeight="15840" xr2:uid="{9A1748DA-5583-4953-B959-75D9F9781060}"/>
  </bookViews>
  <sheets>
    <sheet name="카던&amp;전선" sheetId="1" r:id="rId1"/>
    <sheet name="에브니 큐브" sheetId="2" r:id="rId2"/>
    <sheet name="가디언 토벌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L12" i="1"/>
  <c r="K12" i="1"/>
</calcChain>
</file>

<file path=xl/sharedStrings.xml><?xml version="1.0" encoding="utf-8"?>
<sst xmlns="http://schemas.openxmlformats.org/spreadsheetml/2006/main" count="75" uniqueCount="53">
  <si>
    <t>에브니확률</t>
  </si>
  <si>
    <t>파편</t>
  </si>
  <si>
    <t>실링</t>
  </si>
  <si>
    <t>정제된 파괴강석</t>
    <phoneticPr fontId="2" type="noConversion"/>
  </si>
  <si>
    <t>정제된 수호강석</t>
    <phoneticPr fontId="2" type="noConversion"/>
  </si>
  <si>
    <t>운명의 파괴석</t>
    <phoneticPr fontId="2" type="noConversion"/>
  </si>
  <si>
    <t>운명의 수호석</t>
    <phoneticPr fontId="2" type="noConversion"/>
  </si>
  <si>
    <t>찬란한 명예의 돌파석</t>
    <phoneticPr fontId="2" type="noConversion"/>
  </si>
  <si>
    <t>운명의 돌파석</t>
    <phoneticPr fontId="2" type="noConversion"/>
  </si>
  <si>
    <t>천공 1단계</t>
    <phoneticPr fontId="2" type="noConversion"/>
  </si>
  <si>
    <t>천공 2단계</t>
    <phoneticPr fontId="2" type="noConversion"/>
  </si>
  <si>
    <t>계몽 1단계</t>
    <phoneticPr fontId="2" type="noConversion"/>
  </si>
  <si>
    <t>계몽 2단계</t>
    <phoneticPr fontId="2" type="noConversion"/>
  </si>
  <si>
    <t>아비도스 1작전</t>
    <phoneticPr fontId="2" type="noConversion"/>
  </si>
  <si>
    <t>아비도스 2작전</t>
    <phoneticPr fontId="2" type="noConversion"/>
  </si>
  <si>
    <t>네프타 1작전</t>
    <phoneticPr fontId="2" type="noConversion"/>
  </si>
  <si>
    <t>네프타 2작전</t>
    <phoneticPr fontId="2" type="noConversion"/>
  </si>
  <si>
    <t>입장레벨</t>
    <phoneticPr fontId="2" type="noConversion"/>
  </si>
  <si>
    <t>이름</t>
    <phoneticPr fontId="2" type="noConversion"/>
  </si>
  <si>
    <r>
      <t>1</t>
    </r>
    <r>
      <rPr>
        <sz val="10"/>
        <color theme="1"/>
        <rFont val="맑은 고딕"/>
        <family val="2"/>
        <charset val="129"/>
      </rPr>
      <t>레벨 보석 (3</t>
    </r>
    <r>
      <rPr>
        <sz val="10"/>
        <color theme="1"/>
        <rFont val="Arial"/>
        <family val="2"/>
      </rPr>
      <t>T)</t>
    </r>
    <phoneticPr fontId="2" type="noConversion"/>
  </si>
  <si>
    <r>
      <rPr>
        <sz val="10"/>
        <color theme="1"/>
        <rFont val="맑은 고딕"/>
        <family val="3"/>
        <charset val="129"/>
      </rPr>
      <t>1레벨 보석 (4</t>
    </r>
    <r>
      <rPr>
        <sz val="10"/>
        <color theme="1"/>
        <rFont val="Arial"/>
        <family val="3"/>
      </rPr>
      <t>T)</t>
    </r>
    <phoneticPr fontId="2" type="noConversion"/>
  </si>
  <si>
    <r>
      <rPr>
        <sz val="10"/>
        <color theme="1"/>
        <rFont val="맑은 고딕"/>
        <family val="2"/>
        <charset val="129"/>
      </rPr>
      <t>에브니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큐브</t>
    </r>
    <phoneticPr fontId="2" type="noConversion"/>
  </si>
  <si>
    <t>4금제</t>
    <phoneticPr fontId="2" type="noConversion"/>
  </si>
  <si>
    <t>5금제</t>
    <phoneticPr fontId="2" type="noConversion"/>
  </si>
  <si>
    <t>1해금</t>
    <phoneticPr fontId="2" type="noConversion"/>
  </si>
  <si>
    <t>2해금</t>
    <phoneticPr fontId="2" type="noConversion"/>
  </si>
  <si>
    <t>3해금</t>
    <phoneticPr fontId="2" type="noConversion"/>
  </si>
  <si>
    <t>4해금</t>
    <phoneticPr fontId="2" type="noConversion"/>
  </si>
  <si>
    <t>아비도스 3작전</t>
  </si>
  <si>
    <r>
      <rPr>
        <sz val="10"/>
        <color theme="1"/>
        <rFont val="맑은 고딕"/>
        <family val="2"/>
        <charset val="129"/>
      </rPr>
      <t>영웅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젬</t>
    </r>
    <phoneticPr fontId="2" type="noConversion"/>
  </si>
  <si>
    <r>
      <rPr>
        <sz val="10"/>
        <color theme="1"/>
        <rFont val="맑은 고딕"/>
        <family val="2"/>
        <charset val="129"/>
      </rPr>
      <t>희귀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젬</t>
    </r>
    <phoneticPr fontId="2" type="noConversion"/>
  </si>
  <si>
    <r>
      <rPr>
        <sz val="10"/>
        <color theme="1"/>
        <rFont val="맑은 고딕"/>
        <family val="2"/>
        <charset val="129"/>
      </rPr>
      <t>고급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젬</t>
    </r>
    <phoneticPr fontId="2" type="noConversion"/>
  </si>
  <si>
    <t>태양의 은총</t>
  </si>
  <si>
    <t>태양의 축복</t>
  </si>
  <si>
    <t>태양의 가호</t>
  </si>
  <si>
    <t>카경</t>
  </si>
  <si>
    <t>4금제</t>
  </si>
  <si>
    <t>5금제</t>
  </si>
  <si>
    <t>1해금</t>
  </si>
  <si>
    <t>2해금</t>
  </si>
  <si>
    <t>3해금</t>
  </si>
  <si>
    <t>에브니 큐브</t>
    <phoneticPr fontId="2" type="noConversion"/>
  </si>
  <si>
    <r>
      <t>4</t>
    </r>
    <r>
      <rPr>
        <sz val="10"/>
        <color theme="1"/>
        <rFont val="맑은 고딕"/>
        <family val="2"/>
        <charset val="129"/>
      </rPr>
      <t>해금</t>
    </r>
    <phoneticPr fontId="2" type="noConversion"/>
  </si>
  <si>
    <t>용암의 숨결</t>
    <phoneticPr fontId="2" type="noConversion"/>
  </si>
  <si>
    <t>빙하의 숨결</t>
    <phoneticPr fontId="2" type="noConversion"/>
  </si>
  <si>
    <t>실링</t>
    <phoneticPr fontId="2" type="noConversion"/>
  </si>
  <si>
    <t>소나벨</t>
  </si>
  <si>
    <t>가르가디스</t>
  </si>
  <si>
    <t>베스칼</t>
  </si>
  <si>
    <t>아게오로스</t>
  </si>
  <si>
    <t>스콜라키아</t>
  </si>
  <si>
    <t>드랙탈라스</t>
  </si>
  <si>
    <r>
      <rPr>
        <sz val="10"/>
        <color theme="1"/>
        <rFont val="맑은 고딕"/>
        <family val="2"/>
        <charset val="129"/>
      </rPr>
      <t>크라티오스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</si>
</sst>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DF2F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F10E-7C34-4D27-8A7A-78999F53C69E}">
  <dimension ref="A1:M12"/>
  <sheetViews>
    <sheetView tabSelected="1" workbookViewId="0">
      <selection activeCell="L21" sqref="L21"/>
    </sheetView>
  </sheetViews>
  <sheetFormatPr defaultRowHeight="16.5" x14ac:dyDescent="0.3"/>
  <cols>
    <col min="1" max="1" width="19.875" customWidth="1"/>
  </cols>
  <sheetData>
    <row r="1" spans="1:13" ht="41.25" thickBot="1" x14ac:dyDescent="0.3">
      <c r="A1" t="s">
        <v>18</v>
      </c>
      <c r="B1" t="s">
        <v>17</v>
      </c>
      <c r="C1" s="3" t="s">
        <v>3</v>
      </c>
      <c r="D1" s="4" t="s">
        <v>4</v>
      </c>
      <c r="E1" s="4" t="s">
        <v>7</v>
      </c>
      <c r="F1" s="2" t="s">
        <v>19</v>
      </c>
      <c r="G1" s="2" t="s">
        <v>1</v>
      </c>
      <c r="H1" s="2" t="s">
        <v>2</v>
      </c>
      <c r="I1" s="6" t="s">
        <v>21</v>
      </c>
      <c r="J1" s="2" t="s">
        <v>0</v>
      </c>
      <c r="K1" s="6" t="s">
        <v>29</v>
      </c>
      <c r="L1" s="6" t="s">
        <v>30</v>
      </c>
      <c r="M1" s="6" t="s">
        <v>31</v>
      </c>
    </row>
    <row r="2" spans="1:13" ht="17.25" thickBot="1" x14ac:dyDescent="0.25">
      <c r="A2" t="s">
        <v>9</v>
      </c>
      <c r="B2" s="1">
        <v>1580</v>
      </c>
      <c r="C2" s="1">
        <v>79</v>
      </c>
      <c r="D2" s="1">
        <v>216.2</v>
      </c>
      <c r="E2" s="1">
        <v>6.2</v>
      </c>
      <c r="F2">
        <v>21.599999999999998</v>
      </c>
      <c r="G2" s="1">
        <v>19828</v>
      </c>
      <c r="H2" s="1">
        <v>154182</v>
      </c>
      <c r="I2" t="s">
        <v>22</v>
      </c>
      <c r="J2" s="1">
        <v>0.1</v>
      </c>
    </row>
    <row r="3" spans="1:13" ht="17.25" thickBot="1" x14ac:dyDescent="0.25">
      <c r="A3" t="s">
        <v>10</v>
      </c>
      <c r="B3" s="1">
        <v>1600</v>
      </c>
      <c r="C3" s="1">
        <v>85.6</v>
      </c>
      <c r="D3" s="1">
        <v>246.8</v>
      </c>
      <c r="E3" s="1">
        <v>7.8</v>
      </c>
      <c r="F3">
        <v>20.88</v>
      </c>
      <c r="G3" s="1">
        <v>19356</v>
      </c>
      <c r="H3" s="1">
        <v>157816</v>
      </c>
      <c r="I3" t="s">
        <v>22</v>
      </c>
      <c r="J3" s="1">
        <v>0.1</v>
      </c>
    </row>
    <row r="4" spans="1:13" ht="17.25" thickBot="1" x14ac:dyDescent="0.25">
      <c r="A4" t="s">
        <v>11</v>
      </c>
      <c r="B4" s="1">
        <v>1610</v>
      </c>
      <c r="C4" s="1">
        <v>116.8</v>
      </c>
      <c r="D4" s="1">
        <v>334.4</v>
      </c>
      <c r="E4" s="1">
        <v>10.6</v>
      </c>
      <c r="F4">
        <v>20.52</v>
      </c>
      <c r="G4" s="1">
        <v>21354</v>
      </c>
      <c r="H4" s="1">
        <v>183408</v>
      </c>
      <c r="I4" t="s">
        <v>23</v>
      </c>
      <c r="J4" s="1">
        <v>0.1</v>
      </c>
    </row>
    <row r="5" spans="1:13" ht="17.25" thickBot="1" x14ac:dyDescent="0.25">
      <c r="A5" t="s">
        <v>12</v>
      </c>
      <c r="B5" s="1">
        <v>1630</v>
      </c>
      <c r="C5" s="1">
        <v>192</v>
      </c>
      <c r="D5" s="1">
        <v>550.79999999999995</v>
      </c>
      <c r="E5" s="1">
        <v>18.600000000000001</v>
      </c>
      <c r="F5">
        <v>24.48</v>
      </c>
      <c r="G5" s="1">
        <v>29030</v>
      </c>
      <c r="H5" s="1">
        <v>195640</v>
      </c>
      <c r="I5" t="s">
        <v>23</v>
      </c>
      <c r="J5" s="1">
        <v>0.1</v>
      </c>
    </row>
    <row r="6" spans="1:13" ht="17.25" thickBot="1" x14ac:dyDescent="0.35"/>
    <row r="7" spans="1:13" ht="27.75" thickBot="1" x14ac:dyDescent="0.3">
      <c r="A7" t="s">
        <v>18</v>
      </c>
      <c r="B7" t="s">
        <v>17</v>
      </c>
      <c r="C7" s="3" t="s">
        <v>5</v>
      </c>
      <c r="D7" s="4" t="s">
        <v>6</v>
      </c>
      <c r="E7" s="4" t="s">
        <v>8</v>
      </c>
      <c r="F7" s="5" t="s">
        <v>20</v>
      </c>
      <c r="G7" s="2" t="s">
        <v>1</v>
      </c>
      <c r="H7" s="2" t="s">
        <v>2</v>
      </c>
      <c r="I7" s="6" t="s">
        <v>21</v>
      </c>
      <c r="J7" s="2" t="s">
        <v>0</v>
      </c>
    </row>
    <row r="8" spans="1:13" ht="17.25" thickBot="1" x14ac:dyDescent="0.25">
      <c r="A8" t="s">
        <v>13</v>
      </c>
      <c r="B8" s="1">
        <v>1640</v>
      </c>
      <c r="C8" s="1">
        <v>165.8</v>
      </c>
      <c r="D8" s="1">
        <v>451.5</v>
      </c>
      <c r="E8" s="1">
        <v>10.9</v>
      </c>
      <c r="F8" s="1">
        <v>2.6</v>
      </c>
      <c r="G8" s="1">
        <v>21998.7</v>
      </c>
      <c r="H8" s="1">
        <v>173817.8</v>
      </c>
      <c r="I8" t="s">
        <v>24</v>
      </c>
      <c r="J8" s="1">
        <v>0.1</v>
      </c>
    </row>
    <row r="9" spans="1:13" ht="17.25" thickBot="1" x14ac:dyDescent="0.25">
      <c r="A9" t="s">
        <v>14</v>
      </c>
      <c r="B9" s="1">
        <v>1660</v>
      </c>
      <c r="C9" s="1">
        <v>175.6</v>
      </c>
      <c r="D9" s="1">
        <v>510.3</v>
      </c>
      <c r="E9" s="1">
        <v>14</v>
      </c>
      <c r="F9" s="1">
        <v>4.4000000000000004</v>
      </c>
      <c r="G9" s="1">
        <v>28867.200000000001</v>
      </c>
      <c r="H9" s="1">
        <v>188906.9</v>
      </c>
      <c r="I9" t="s">
        <v>24</v>
      </c>
      <c r="J9" s="1">
        <v>0.1</v>
      </c>
    </row>
    <row r="10" spans="1:13" ht="17.25" thickBot="1" x14ac:dyDescent="0.25">
      <c r="A10" t="s">
        <v>28</v>
      </c>
      <c r="B10" s="1">
        <v>1680</v>
      </c>
      <c r="C10" s="1">
        <v>212.7</v>
      </c>
      <c r="D10" s="1">
        <v>614.79999999999995</v>
      </c>
      <c r="E10" s="1">
        <v>17.899999999999999</v>
      </c>
      <c r="F10" s="1">
        <v>4.5999999999999996</v>
      </c>
      <c r="G10" s="1">
        <v>31917.3</v>
      </c>
      <c r="H10" s="1">
        <v>197704.5</v>
      </c>
      <c r="I10" t="s">
        <v>25</v>
      </c>
      <c r="J10" s="1">
        <v>0.1</v>
      </c>
    </row>
    <row r="11" spans="1:13" ht="17.25" thickBot="1" x14ac:dyDescent="0.25">
      <c r="A11" t="s">
        <v>15</v>
      </c>
      <c r="B11" s="1">
        <v>1700</v>
      </c>
      <c r="C11" s="1">
        <v>283.10000000000002</v>
      </c>
      <c r="D11" s="1">
        <v>811.5</v>
      </c>
      <c r="E11" s="1">
        <v>21.8</v>
      </c>
      <c r="F11" s="1">
        <v>4.9000000000000004</v>
      </c>
      <c r="G11" s="1">
        <v>33664</v>
      </c>
      <c r="H11" s="1">
        <v>199084</v>
      </c>
      <c r="I11" t="s">
        <v>26</v>
      </c>
      <c r="J11" s="1">
        <v>0.1</v>
      </c>
    </row>
    <row r="12" spans="1:13" x14ac:dyDescent="0.2">
      <c r="A12" t="s">
        <v>16</v>
      </c>
      <c r="B12" s="8">
        <v>1720</v>
      </c>
      <c r="C12" s="7">
        <v>343</v>
      </c>
      <c r="D12" s="7">
        <v>1075</v>
      </c>
      <c r="E12" s="7">
        <v>26.8</v>
      </c>
      <c r="F12" s="7">
        <v>6.2</v>
      </c>
      <c r="G12" s="7">
        <v>39012</v>
      </c>
      <c r="H12" s="7">
        <v>202260</v>
      </c>
      <c r="I12" t="s">
        <v>27</v>
      </c>
      <c r="K12">
        <f>3/100</f>
        <v>0.03</v>
      </c>
      <c r="L12">
        <f>36/100</f>
        <v>0.36</v>
      </c>
      <c r="M12">
        <f>219/100</f>
        <v>2.19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F4C5-266E-4692-9D5A-C1462AA26759}">
  <dimension ref="A1:H9"/>
  <sheetViews>
    <sheetView workbookViewId="0">
      <selection activeCell="A5" sqref="A5:H9"/>
    </sheetView>
  </sheetViews>
  <sheetFormatPr defaultRowHeight="16.5" x14ac:dyDescent="0.3"/>
  <cols>
    <col min="1" max="1" width="16.875" customWidth="1"/>
  </cols>
  <sheetData>
    <row r="1" spans="1:8" ht="41.25" thickBot="1" x14ac:dyDescent="0.3">
      <c r="A1" s="6" t="s">
        <v>21</v>
      </c>
      <c r="B1" s="2" t="s">
        <v>19</v>
      </c>
      <c r="C1" s="4" t="s">
        <v>7</v>
      </c>
      <c r="D1" s="2" t="s">
        <v>32</v>
      </c>
      <c r="E1" s="2" t="s">
        <v>33</v>
      </c>
      <c r="F1" s="2" t="s">
        <v>34</v>
      </c>
      <c r="G1" s="2" t="s">
        <v>35</v>
      </c>
      <c r="H1" s="4" t="s">
        <v>45</v>
      </c>
    </row>
    <row r="2" spans="1:8" ht="17.25" thickBot="1" x14ac:dyDescent="0.25">
      <c r="A2" s="2" t="s">
        <v>36</v>
      </c>
      <c r="B2" s="1">
        <v>72</v>
      </c>
      <c r="C2" s="2">
        <v>14</v>
      </c>
      <c r="D2" s="1">
        <v>12</v>
      </c>
      <c r="E2" s="1">
        <v>7</v>
      </c>
      <c r="F2" s="1">
        <v>3</v>
      </c>
      <c r="G2" s="1">
        <v>13000</v>
      </c>
      <c r="H2" s="1">
        <v>120000</v>
      </c>
    </row>
    <row r="3" spans="1:8" ht="17.25" thickBot="1" x14ac:dyDescent="0.25">
      <c r="A3" s="2" t="s">
        <v>37</v>
      </c>
      <c r="B3" s="1">
        <v>81</v>
      </c>
      <c r="C3" s="2">
        <v>25</v>
      </c>
      <c r="D3" s="1">
        <v>13</v>
      </c>
      <c r="E3" s="1">
        <v>8</v>
      </c>
      <c r="F3" s="1">
        <v>4</v>
      </c>
      <c r="G3" s="1">
        <v>13500</v>
      </c>
      <c r="H3" s="1">
        <v>130000</v>
      </c>
    </row>
    <row r="4" spans="1:8" ht="17.25" thickBot="1" x14ac:dyDescent="0.25">
      <c r="A4" s="2"/>
      <c r="B4" s="1"/>
      <c r="C4" s="2"/>
      <c r="D4" s="2"/>
      <c r="E4" s="2"/>
      <c r="F4" s="2"/>
      <c r="G4" s="1"/>
      <c r="H4" s="1"/>
    </row>
    <row r="5" spans="1:8" ht="27.75" thickBot="1" x14ac:dyDescent="0.3">
      <c r="A5" s="3" t="s">
        <v>41</v>
      </c>
      <c r="B5" s="5" t="s">
        <v>20</v>
      </c>
      <c r="C5" s="4" t="s">
        <v>8</v>
      </c>
      <c r="D5" s="4" t="s">
        <v>43</v>
      </c>
      <c r="E5" s="4" t="s">
        <v>44</v>
      </c>
      <c r="F5" s="2"/>
      <c r="G5" s="2" t="s">
        <v>35</v>
      </c>
      <c r="H5" s="3" t="s">
        <v>45</v>
      </c>
    </row>
    <row r="6" spans="1:8" ht="17.25" thickBot="1" x14ac:dyDescent="0.25">
      <c r="A6" s="2" t="s">
        <v>38</v>
      </c>
      <c r="B6" s="1">
        <v>9</v>
      </c>
      <c r="C6" s="2">
        <v>14</v>
      </c>
      <c r="D6" s="1">
        <v>4</v>
      </c>
      <c r="E6" s="1">
        <v>4</v>
      </c>
      <c r="F6" s="2"/>
      <c r="G6" s="1">
        <v>14000</v>
      </c>
      <c r="H6" s="1">
        <v>140000</v>
      </c>
    </row>
    <row r="7" spans="1:8" ht="17.25" thickBot="1" x14ac:dyDescent="0.25">
      <c r="A7" s="2" t="s">
        <v>39</v>
      </c>
      <c r="B7" s="1">
        <v>18</v>
      </c>
      <c r="C7" s="2">
        <v>25</v>
      </c>
      <c r="D7" s="1">
        <v>5</v>
      </c>
      <c r="E7" s="1">
        <v>5</v>
      </c>
      <c r="F7" s="2"/>
      <c r="G7" s="1">
        <v>14500</v>
      </c>
      <c r="H7" s="1">
        <v>150000</v>
      </c>
    </row>
    <row r="8" spans="1:8" ht="17.25" thickBot="1" x14ac:dyDescent="0.25">
      <c r="A8" s="2" t="s">
        <v>40</v>
      </c>
      <c r="B8" s="1">
        <v>24</v>
      </c>
      <c r="C8" s="2">
        <v>32</v>
      </c>
      <c r="D8" s="1">
        <v>6</v>
      </c>
      <c r="E8" s="1">
        <v>6</v>
      </c>
      <c r="F8" s="2"/>
      <c r="G8" s="1">
        <v>15000</v>
      </c>
      <c r="H8" s="1">
        <v>160000</v>
      </c>
    </row>
    <row r="9" spans="1:8" x14ac:dyDescent="0.25">
      <c r="A9" s="6" t="s">
        <v>42</v>
      </c>
      <c r="B9" s="7">
        <v>33</v>
      </c>
      <c r="C9" s="6">
        <v>41</v>
      </c>
      <c r="D9" s="7">
        <v>8</v>
      </c>
      <c r="E9" s="7">
        <v>8</v>
      </c>
      <c r="G9" s="7">
        <v>15500</v>
      </c>
      <c r="H9" s="7">
        <v>180000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482F-2A29-4BB9-8A4A-2DB344ABFDB1}">
  <dimension ref="A1:D10"/>
  <sheetViews>
    <sheetView workbookViewId="0">
      <selection activeCell="M12" sqref="M12"/>
    </sheetView>
  </sheetViews>
  <sheetFormatPr defaultRowHeight="16.5" x14ac:dyDescent="0.3"/>
  <sheetData>
    <row r="1" spans="1:4" ht="17.25" thickBot="1" x14ac:dyDescent="0.35">
      <c r="B1" t="s">
        <v>3</v>
      </c>
      <c r="C1" t="s">
        <v>4</v>
      </c>
      <c r="D1" t="s">
        <v>7</v>
      </c>
    </row>
    <row r="2" spans="1:4" ht="17.25" thickBot="1" x14ac:dyDescent="0.25">
      <c r="A2" s="2" t="s">
        <v>46</v>
      </c>
      <c r="B2" s="1">
        <v>68</v>
      </c>
      <c r="C2" s="1">
        <v>204</v>
      </c>
      <c r="D2" s="1">
        <v>8</v>
      </c>
    </row>
    <row r="3" spans="1:4" ht="17.25" thickBot="1" x14ac:dyDescent="0.25">
      <c r="A3" s="2" t="s">
        <v>47</v>
      </c>
      <c r="B3" s="1">
        <v>103</v>
      </c>
      <c r="C3" s="1">
        <v>301</v>
      </c>
      <c r="D3" s="1">
        <v>12</v>
      </c>
    </row>
    <row r="4" spans="1:4" ht="17.25" thickBot="1" x14ac:dyDescent="0.25">
      <c r="A4" s="2" t="s">
        <v>48</v>
      </c>
      <c r="B4" s="1">
        <v>166</v>
      </c>
      <c r="C4" s="1">
        <v>506</v>
      </c>
      <c r="D4" s="1">
        <v>24</v>
      </c>
    </row>
    <row r="6" spans="1:4" ht="17.25" thickBot="1" x14ac:dyDescent="0.35">
      <c r="B6" t="s">
        <v>5</v>
      </c>
      <c r="C6" t="s">
        <v>6</v>
      </c>
      <c r="D6" t="s">
        <v>8</v>
      </c>
    </row>
    <row r="7" spans="1:4" ht="17.25" thickBot="1" x14ac:dyDescent="0.25">
      <c r="A7" s="2" t="s">
        <v>49</v>
      </c>
      <c r="B7" s="9">
        <v>96.2</v>
      </c>
      <c r="C7" s="9">
        <v>286.2</v>
      </c>
      <c r="D7" s="9">
        <v>12.4</v>
      </c>
    </row>
    <row r="8" spans="1:4" ht="17.25" thickBot="1" x14ac:dyDescent="0.25">
      <c r="A8" s="2" t="s">
        <v>50</v>
      </c>
      <c r="B8" s="10">
        <v>148.5</v>
      </c>
      <c r="C8" s="10">
        <v>450</v>
      </c>
      <c r="D8" s="10">
        <v>17.600000000000001</v>
      </c>
    </row>
    <row r="9" spans="1:4" ht="17.25" thickBot="1" x14ac:dyDescent="0.25">
      <c r="A9" s="2" t="s">
        <v>51</v>
      </c>
      <c r="B9" s="9">
        <v>189.5</v>
      </c>
      <c r="C9" s="9">
        <v>569</v>
      </c>
      <c r="D9" s="9">
        <v>20</v>
      </c>
    </row>
    <row r="10" spans="1:4" x14ac:dyDescent="0.25">
      <c r="A10" s="11" t="s">
        <v>52</v>
      </c>
      <c r="B10">
        <v>353.1</v>
      </c>
      <c r="C10">
        <v>1108.5999999999999</v>
      </c>
      <c r="D10">
        <v>35.299999999999997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카던&amp;전선</vt:lpstr>
      <vt:lpstr>에브니 큐브</vt:lpstr>
      <vt:lpstr>가디언 토벌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윤수 정</dc:creator>
  <cp:lastModifiedBy>윤수 정</cp:lastModifiedBy>
  <dcterms:created xsi:type="dcterms:W3CDTF">2025-10-30T15:44:07Z</dcterms:created>
  <dcterms:modified xsi:type="dcterms:W3CDTF">2025-11-13T11:05:22Z</dcterms:modified>
</cp:coreProperties>
</file>